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B50155BB-2800-47F7-BE7B-43F47D858BC3/Library/Application Support/Drafts/"/>
    </mc:Choice>
  </mc:AlternateContent>
  <xr:revisionPtr revIDLastSave="0" documentId="8_{85909259-5FCA-1D4D-BF50-AA9877171C6D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Raw financials" sheetId="1" r:id="rId1"/>
    <sheet name="Revenue analysis" sheetId="2" r:id="rId2"/>
    <sheet name="Profitability" sheetId="3" r:id="rId3"/>
    <sheet name="Balance sheet and debt" sheetId="4" r:id="rId4"/>
    <sheet name="Dashboard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4" l="1"/>
  <c r="D10" i="4"/>
  <c r="E10" i="4"/>
  <c r="F10" i="4"/>
  <c r="B10" i="4"/>
  <c r="C6" i="4"/>
  <c r="D6" i="4"/>
  <c r="E6" i="4"/>
  <c r="F6" i="4"/>
  <c r="B6" i="4"/>
  <c r="C9" i="3"/>
  <c r="D9" i="3"/>
  <c r="E9" i="3"/>
  <c r="F9" i="3"/>
  <c r="B9" i="3"/>
  <c r="C8" i="3"/>
  <c r="D8" i="3"/>
  <c r="E8" i="3"/>
  <c r="F8" i="3"/>
  <c r="B8" i="3"/>
  <c r="C4" i="3"/>
  <c r="D4" i="3"/>
  <c r="E4" i="3"/>
  <c r="F4" i="3"/>
  <c r="B4" i="3"/>
  <c r="B11" i="2"/>
  <c r="B12" i="2"/>
  <c r="B10" i="2"/>
  <c r="F13" i="1"/>
  <c r="B4" i="2"/>
  <c r="C4" i="2"/>
  <c r="D4" i="2"/>
  <c r="E4" i="2"/>
  <c r="B5" i="2"/>
  <c r="C5" i="2"/>
  <c r="D5" i="2"/>
  <c r="E5" i="2"/>
  <c r="B6" i="2"/>
  <c r="C6" i="2"/>
  <c r="D6" i="2"/>
  <c r="E6" i="2"/>
  <c r="C7" i="2"/>
  <c r="D7" i="2"/>
  <c r="E7" i="2"/>
  <c r="F7" i="2"/>
  <c r="B7" i="2"/>
  <c r="F6" i="2"/>
  <c r="F5" i="2"/>
  <c r="F4" i="2"/>
  <c r="E14" i="1"/>
  <c r="D14" i="1"/>
  <c r="C14" i="1"/>
  <c r="B14" i="1"/>
  <c r="F14" i="1"/>
  <c r="E13" i="1"/>
  <c r="D13" i="1"/>
  <c r="C13" i="1"/>
</calcChain>
</file>

<file path=xl/sharedStrings.xml><?xml version="1.0" encoding="utf-8"?>
<sst xmlns="http://schemas.openxmlformats.org/spreadsheetml/2006/main" count="59" uniqueCount="50">
  <si>
    <t>Manchester United Financial Analysis</t>
  </si>
  <si>
    <t>Financial Metric (£m)</t>
  </si>
  <si>
    <t>Revenue</t>
  </si>
  <si>
    <t>Commercial Revenue</t>
  </si>
  <si>
    <t>Broadcasting Revenue</t>
  </si>
  <si>
    <t>Matchday Revenue</t>
  </si>
  <si>
    <t>Operating Revenue</t>
  </si>
  <si>
    <t>Net Profit / (Loss)</t>
  </si>
  <si>
    <t>Operating Profit / (Loss)</t>
  </si>
  <si>
    <t>Cash and Cash equivalents</t>
  </si>
  <si>
    <t>Borrowings / Debt</t>
  </si>
  <si>
    <t>Revenue Growth %</t>
  </si>
  <si>
    <t>Revenue Check</t>
  </si>
  <si>
    <t>Manchester United Revenue Analysis</t>
  </si>
  <si>
    <t xml:space="preserve">Revenue Stream (£m) </t>
  </si>
  <si>
    <t>Commercial</t>
  </si>
  <si>
    <t>Broadcasting</t>
  </si>
  <si>
    <t>Matchday</t>
  </si>
  <si>
    <t>Total Revenue</t>
  </si>
  <si>
    <t>2025 Revenue Mix</t>
  </si>
  <si>
    <t>Manchester United Profitability Analysis</t>
  </si>
  <si>
    <t>Operating Expenses</t>
  </si>
  <si>
    <t>Operating Margin</t>
  </si>
  <si>
    <t>Net Margin</t>
  </si>
  <si>
    <t>Manchester United Balance Sheet and Debt Analysis</t>
  </si>
  <si>
    <t>Cash and Cash Equivalents</t>
  </si>
  <si>
    <t>Total Borrowings</t>
  </si>
  <si>
    <t>Net Debt</t>
  </si>
  <si>
    <t>Total Assets</t>
  </si>
  <si>
    <t>Total liabilities</t>
  </si>
  <si>
    <t>Net Assets / Equity</t>
  </si>
  <si>
    <t>Debt-to-Assets Ratio</t>
  </si>
  <si>
    <t>Manchester United Financial Performance Dashboard</t>
  </si>
  <si>
    <t>Five-Year Financial Analysis | 2021-2025</t>
  </si>
  <si>
    <t>2025 Net Debt (£m)</t>
  </si>
  <si>
    <t>2025 Net Profit / (Loss) (£m)</t>
  </si>
  <si>
    <t>2025 Revenue (£m)</t>
  </si>
  <si>
    <t>2025 Debt-to-Assets</t>
  </si>
  <si>
    <t>Year</t>
  </si>
  <si>
    <t>Operating Profit</t>
  </si>
  <si>
    <t>Net Profit</t>
  </si>
  <si>
    <t>Net Debt (£m)</t>
  </si>
  <si>
    <t>£666.5m</t>
  </si>
  <si>
    <t>£550.9m</t>
  </si>
  <si>
    <t>Key Insights</t>
  </si>
  <si>
    <r>
      <t>Revenue growth:</t>
    </r>
    <r>
      <rPr>
        <sz val="11"/>
        <color theme="1"/>
        <rFont val="Aptos Narrow"/>
        <family val="2"/>
        <scheme val="minor"/>
      </rPr>
      <t xml:space="preserve"> Revenue increased from £494.1m in 2021 to £666.5m in 2025, an increase of approximately 35%.</t>
    </r>
  </si>
  <si>
    <r>
      <t>Profitability:</t>
    </r>
    <r>
      <rPr>
        <sz val="11"/>
        <color theme="1"/>
        <rFont val="Aptos Narrow"/>
        <family val="2"/>
        <scheme val="minor"/>
      </rPr>
      <t xml:space="preserve"> Despite strong revenue recovery, Manchester United recorded a net loss in every year analysed. The 2025 net loss improved to £33.0m from £113.2m in 2024.</t>
    </r>
  </si>
  <si>
    <r>
      <t>Debt position:</t>
    </r>
    <r>
      <rPr>
        <sz val="11"/>
        <color theme="1"/>
        <rFont val="Aptos Narrow"/>
        <family val="2"/>
        <scheme val="minor"/>
      </rPr>
      <t xml:space="preserve"> Net debt increased from £419.5m in 2021 to £550.9m in 2025. However, borrowings as a proportion of total assets fell to 38.9% in 2025, the lowest level across the five-year period.</t>
    </r>
  </si>
  <si>
    <r>
      <t>Overall:</t>
    </r>
    <r>
      <rPr>
        <sz val="11"/>
        <color theme="1"/>
        <rFont val="Aptos Narrow"/>
        <family val="2"/>
        <scheme val="minor"/>
      </rPr>
      <t xml:space="preserve"> The five-year trend shows a business that has grown revenue significantly but has yet to convert that growth into consistent profitability, while maintaining a substantial debt burden.</t>
    </r>
  </si>
  <si>
    <t>-£33.0m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</si>
</sst>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10" fontId="3" fillId="0" borderId="3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growth (£m)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financials'!$B$3:$F$3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'Raw financials'!$B$4:$F$4</c:f>
              <c:numCache>
                <c:formatCode>General</c:formatCode>
                <c:ptCount val="5"/>
                <c:pt idx="0">
                  <c:v>494.1</c:v>
                </c:pt>
                <c:pt idx="1">
                  <c:v>583.20000000000005</c:v>
                </c:pt>
                <c:pt idx="2">
                  <c:v>648.4</c:v>
                </c:pt>
                <c:pt idx="3">
                  <c:v>661.8</c:v>
                </c:pt>
                <c:pt idx="4">
                  <c:v>666.5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C-5744-856F-DF7636B5E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699456"/>
        <c:axId val="886015296"/>
      </c:lineChart>
      <c:catAx>
        <c:axId val="8876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15296"/>
        <c:crosses val="autoZero"/>
        <c:auto val="1"/>
        <c:lblAlgn val="ctr"/>
        <c:lblOffset val="100"/>
        <c:noMultiLvlLbl val="0"/>
      </c:catAx>
      <c:valAx>
        <c:axId val="8860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9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Manchester United Revenue by Stream (2021-2025)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analysis'!$A$4</c:f>
              <c:strCache>
                <c:ptCount val="1"/>
                <c:pt idx="0">
                  <c:v>Commercial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'Revenue analysis'!$B$3:$F$3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analysis'!$B$4:$F$4</c:f>
              <c:numCache>
                <c:formatCode>General</c:formatCode>
                <c:ptCount val="5"/>
                <c:pt idx="0">
                  <c:v>232.2</c:v>
                </c:pt>
                <c:pt idx="1">
                  <c:v>257.8</c:v>
                </c:pt>
                <c:pt idx="2">
                  <c:v>302.89999999999998</c:v>
                </c:pt>
                <c:pt idx="3">
                  <c:v>302.89999999999998</c:v>
                </c:pt>
                <c:pt idx="4">
                  <c:v>333.3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A-8C4C-AEF5-D6257C285D2B}"/>
            </c:ext>
          </c:extLst>
        </c:ser>
        <c:ser>
          <c:idx val="1"/>
          <c:order val="1"/>
          <c:tx>
            <c:strRef>
              <c:f>'Revenue analysis'!$A$5</c:f>
              <c:strCache>
                <c:ptCount val="1"/>
                <c:pt idx="0">
                  <c:v>Broadcasting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'Revenue analysis'!$B$3:$F$3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analysis'!$B$5:$F$5</c:f>
              <c:numCache>
                <c:formatCode>General</c:formatCode>
                <c:ptCount val="5"/>
                <c:pt idx="0">
                  <c:v>254.8</c:v>
                </c:pt>
                <c:pt idx="1">
                  <c:v>214.9</c:v>
                </c:pt>
                <c:pt idx="2">
                  <c:v>209.1</c:v>
                </c:pt>
                <c:pt idx="3">
                  <c:v>221.8</c:v>
                </c:pt>
                <c:pt idx="4">
                  <c:v>172.9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4A-8C4C-AEF5-D6257C285D2B}"/>
            </c:ext>
          </c:extLst>
        </c:ser>
        <c:ser>
          <c:idx val="2"/>
          <c:order val="2"/>
          <c:tx>
            <c:strRef>
              <c:f>'Revenue analysis'!$A$6</c:f>
              <c:strCache>
                <c:ptCount val="1"/>
                <c:pt idx="0">
                  <c:v>Matchday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'Revenue analysis'!$B$3:$F$3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analysis'!$B$6:$F$6</c:f>
              <c:numCache>
                <c:formatCode>General</c:formatCode>
                <c:ptCount val="5"/>
                <c:pt idx="0">
                  <c:v>7.1</c:v>
                </c:pt>
                <c:pt idx="1">
                  <c:v>110.5</c:v>
                </c:pt>
                <c:pt idx="2">
                  <c:v>136.4</c:v>
                </c:pt>
                <c:pt idx="3">
                  <c:v>137.1</c:v>
                </c:pt>
                <c:pt idx="4">
                  <c:v>160.30000000000001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4A-8C4C-AEF5-D6257C285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15712"/>
        <c:axId val="2087254016"/>
      </c:lineChart>
      <c:catAx>
        <c:axId val="100711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254016"/>
        <c:crosses val="autoZero"/>
        <c:auto val="1"/>
        <c:lblAlgn val="ctr"/>
        <c:lblOffset val="100"/>
        <c:noMultiLvlLbl val="0"/>
      </c:catAx>
      <c:valAx>
        <c:axId val="208725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1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Profitability trend (£m)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Profitability!$I$3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Profitability!$H$4:$H$8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Profitability!$I$4:$I$8</c:f>
              <c:numCache>
                <c:formatCode>General</c:formatCode>
                <c:ptCount val="5"/>
                <c:pt idx="0">
                  <c:v>-36.926000000000002</c:v>
                </c:pt>
                <c:pt idx="1">
                  <c:v>-87.384</c:v>
                </c:pt>
                <c:pt idx="2">
                  <c:v>-11.205</c:v>
                </c:pt>
                <c:pt idx="3">
                  <c:v>-69.266999999999996</c:v>
                </c:pt>
                <c:pt idx="4">
                  <c:v>-18.43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5-8141-8D29-6FE5AEFC48F0}"/>
            </c:ext>
          </c:extLst>
        </c:ser>
        <c:ser>
          <c:idx val="1"/>
          <c:order val="1"/>
          <c:tx>
            <c:strRef>
              <c:f>Profitability!$J$3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Profitability!$H$4:$H$8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Profitability!$J$4:$J$8</c:f>
              <c:numCache>
                <c:formatCode>General</c:formatCode>
                <c:ptCount val="5"/>
                <c:pt idx="0">
                  <c:v>-92.215999999999994</c:v>
                </c:pt>
                <c:pt idx="1">
                  <c:v>-115.51</c:v>
                </c:pt>
                <c:pt idx="2">
                  <c:v>-28.702000000000002</c:v>
                </c:pt>
                <c:pt idx="3">
                  <c:v>-113.17</c:v>
                </c:pt>
                <c:pt idx="4">
                  <c:v>-33.023000000000003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5-8141-8D29-6FE5AEFC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218880"/>
        <c:axId val="1163217536"/>
      </c:lineChart>
      <c:catAx>
        <c:axId val="116321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17536"/>
        <c:crosses val="autoZero"/>
        <c:auto val="1"/>
        <c:lblAlgn val="ctr"/>
        <c:lblOffset val="100"/>
        <c:noMultiLvlLbl val="0"/>
      </c:catAx>
      <c:valAx>
        <c:axId val="11632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 and debt'!$I$3</c:f>
              <c:strCache>
                <c:ptCount val="1"/>
                <c:pt idx="0">
                  <c:v>Net Debt (£m)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'Balance sheet and debt'!$H$4:$H$8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'Balance sheet and debt'!$I$4:$I$8</c:f>
              <c:numCache>
                <c:formatCode>General</c:formatCode>
                <c:ptCount val="5"/>
                <c:pt idx="0">
                  <c:v>419.54199999999997</c:v>
                </c:pt>
                <c:pt idx="1">
                  <c:v>514.97699999999998</c:v>
                </c:pt>
                <c:pt idx="2">
                  <c:v>537.28099999999995</c:v>
                </c:pt>
                <c:pt idx="3">
                  <c:v>473.05099999999999</c:v>
                </c:pt>
                <c:pt idx="4">
                  <c:v>550.9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2-FD41-B48C-8EF7C6D75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224256"/>
        <c:axId val="1163223808"/>
      </c:lineChart>
      <c:catAx>
        <c:axId val="11632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23808"/>
        <c:crosses val="autoZero"/>
        <c:auto val="1"/>
        <c:lblAlgn val="ctr"/>
        <c:lblOffset val="100"/>
        <c:noMultiLvlLbl val="0"/>
      </c:catAx>
      <c:valAx>
        <c:axId val="11632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2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growth (£m)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financials'!$B$3:$F$3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'Raw financials'!$B$4:$F$4</c:f>
              <c:numCache>
                <c:formatCode>General</c:formatCode>
                <c:ptCount val="5"/>
                <c:pt idx="0">
                  <c:v>494.1</c:v>
                </c:pt>
                <c:pt idx="1">
                  <c:v>583.20000000000005</c:v>
                </c:pt>
                <c:pt idx="2">
                  <c:v>648.4</c:v>
                </c:pt>
                <c:pt idx="3">
                  <c:v>661.8</c:v>
                </c:pt>
                <c:pt idx="4">
                  <c:v>666.5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E-0147-8597-CC522618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87699456"/>
        <c:axId val="886015296"/>
      </c:lineChart>
      <c:catAx>
        <c:axId val="8876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15296"/>
        <c:crosses val="autoZero"/>
        <c:auto val="1"/>
        <c:lblAlgn val="ctr"/>
        <c:lblOffset val="100"/>
        <c:noMultiLvlLbl val="0"/>
      </c:catAx>
      <c:valAx>
        <c:axId val="88601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994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Profitability trend (£m)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Profitability!$I$3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Profitability!$H$4:$H$8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Profitability!$I$4:$I$8</c:f>
              <c:numCache>
                <c:formatCode>General</c:formatCode>
                <c:ptCount val="5"/>
                <c:pt idx="0">
                  <c:v>-36.926000000000002</c:v>
                </c:pt>
                <c:pt idx="1">
                  <c:v>-87.384</c:v>
                </c:pt>
                <c:pt idx="2">
                  <c:v>-11.205</c:v>
                </c:pt>
                <c:pt idx="3">
                  <c:v>-69.266999999999996</c:v>
                </c:pt>
                <c:pt idx="4">
                  <c:v>-18.43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D-1A40-8F85-6B6A72FE915C}"/>
            </c:ext>
          </c:extLst>
        </c:ser>
        <c:ser>
          <c:idx val="1"/>
          <c:order val="1"/>
          <c:tx>
            <c:strRef>
              <c:f>Profitability!$J$3</c:f>
              <c:strCache>
                <c:ptCount val="1"/>
                <c:pt idx="0">
                  <c:v>Net Profit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Profitability!$H$4:$H$8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Profitability!$J$4:$J$8</c:f>
              <c:numCache>
                <c:formatCode>General</c:formatCode>
                <c:ptCount val="5"/>
                <c:pt idx="0">
                  <c:v>-92.215999999999994</c:v>
                </c:pt>
                <c:pt idx="1">
                  <c:v>-115.51</c:v>
                </c:pt>
                <c:pt idx="2">
                  <c:v>-28.702000000000002</c:v>
                </c:pt>
                <c:pt idx="3">
                  <c:v>-113.17</c:v>
                </c:pt>
                <c:pt idx="4">
                  <c:v>-33.023000000000003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D-1A40-8F85-6B6A72FE9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63218880"/>
        <c:axId val="1163217536"/>
      </c:lineChart>
      <c:catAx>
        <c:axId val="116321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17536"/>
        <c:crosses val="autoZero"/>
        <c:auto val="1"/>
        <c:lblAlgn val="ctr"/>
        <c:lblOffset val="100"/>
        <c:noMultiLvlLbl val="0"/>
      </c:catAx>
      <c:valAx>
        <c:axId val="116321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188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</a:t>
            </a:r>
            <a:r>
              <a:rPr lang="en-US"/>
              <a:t>Net Debt</a:t>
            </a:r>
            <a:r>
              <a:rPr lang="en-GB"/>
              <a:t> trend</a:t>
            </a:r>
            <a:r>
              <a:rPr lang="en-US"/>
              <a:t>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 and debt'!$I$3</c:f>
              <c:strCache>
                <c:ptCount val="1"/>
                <c:pt idx="0">
                  <c:v>Net Debt (£m)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'Balance sheet and debt'!$H$4:$H$8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'Balance sheet and debt'!$I$4:$I$8</c:f>
              <c:numCache>
                <c:formatCode>General</c:formatCode>
                <c:ptCount val="5"/>
                <c:pt idx="0">
                  <c:v>419.54199999999997</c:v>
                </c:pt>
                <c:pt idx="1">
                  <c:v>514.97699999999998</c:v>
                </c:pt>
                <c:pt idx="2">
                  <c:v>537.28099999999995</c:v>
                </c:pt>
                <c:pt idx="3">
                  <c:v>473.05099999999999</c:v>
                </c:pt>
                <c:pt idx="4">
                  <c:v>550.9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8-F54A-A41F-8972C8CCD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63224256"/>
        <c:axId val="1163223808"/>
      </c:lineChart>
      <c:catAx>
        <c:axId val="11632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23808"/>
        <c:crosses val="autoZero"/>
        <c:auto val="1"/>
        <c:lblAlgn val="ctr"/>
        <c:lblOffset val="100"/>
        <c:noMultiLvlLbl val="0"/>
      </c:catAx>
      <c:valAx>
        <c:axId val="116322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242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262467</xdr:colOff>
      <xdr:row>15</xdr:row>
      <xdr:rowOff>122766</xdr:rowOff>
    </xdr:from>
    <xdr:to>
      <xdr:col>6</xdr:col>
      <xdr:colOff>182034</xdr:colOff>
      <xdr:row>30</xdr:row>
      <xdr:rowOff>8466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EEB40E-8A11-7A62-FC67-DDA3CF226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427566</xdr:colOff>
      <xdr:row>1</xdr:row>
      <xdr:rowOff>156633</xdr:rowOff>
    </xdr:from>
    <xdr:to>
      <xdr:col>14</xdr:col>
      <xdr:colOff>122766</xdr:colOff>
      <xdr:row>16</xdr:row>
      <xdr:rowOff>42333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2CCDBC-6BA9-4C1A-D526-CBD524F04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4233</xdr:colOff>
      <xdr:row>11</xdr:row>
      <xdr:rowOff>12700</xdr:rowOff>
    </xdr:from>
    <xdr:to>
      <xdr:col>10</xdr:col>
      <xdr:colOff>465667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78B62-1AE0-34C7-344B-67CDA0B86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59266</xdr:colOff>
      <xdr:row>12</xdr:row>
      <xdr:rowOff>135466</xdr:rowOff>
    </xdr:from>
    <xdr:to>
      <xdr:col>8</xdr:col>
      <xdr:colOff>406400</xdr:colOff>
      <xdr:row>27</xdr:row>
      <xdr:rowOff>21166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3C270-B36F-53FA-A8C8-94340BFF2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93134</xdr:colOff>
      <xdr:row>7</xdr:row>
      <xdr:rowOff>8467</xdr:rowOff>
    </xdr:from>
    <xdr:to>
      <xdr:col>4</xdr:col>
      <xdr:colOff>516468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E909B-30D5-3846-9DCE-7A2EAFE97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746089</xdr:colOff>
      <xdr:row>7</xdr:row>
      <xdr:rowOff>2773</xdr:rowOff>
    </xdr:from>
    <xdr:to>
      <xdr:col>10</xdr:col>
      <xdr:colOff>93807</xdr:colOff>
      <xdr:row>19</xdr:row>
      <xdr:rowOff>180396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76FF0-C2BF-A54B-BCD9-91C4E92390B5}"/>
            </a:ext>
            <a:ext uri="{147F2762-F138-4A5C-976F-8EAC2B608ADB}">
              <a16:predDERef xmlns:a16="http://schemas.microsoft.com/office/drawing/2014/main" pred="{C56E909B-30D5-3846-9DCE-7A2EAFE97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2034887</xdr:colOff>
      <xdr:row>20</xdr:row>
      <xdr:rowOff>180397</xdr:rowOff>
    </xdr:from>
    <xdr:to>
      <xdr:col>8</xdr:col>
      <xdr:colOff>512330</xdr:colOff>
      <xdr:row>34</xdr:row>
      <xdr:rowOff>133339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951958-B56D-4B46-864A-F65507C5DB22}"/>
            </a:ext>
            <a:ext uri="{147F2762-F138-4A5C-976F-8EAC2B608ADB}">
              <a16:predDERef xmlns:a16="http://schemas.microsoft.com/office/drawing/2014/main" pred="{80976FF0-C2BF-A54B-BCD9-91C4E9239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EFFE-6F46-6E49-906B-1782ED35BC4A}">
  <dimension ref="A1:F14"/>
  <sheetViews>
    <sheetView zoomScaleNormal="150" zoomScaleSheetLayoutView="100" workbookViewId="0">
      <selection activeCell="H24" sqref="H24"/>
    </sheetView>
  </sheetViews>
  <sheetFormatPr defaultRowHeight="15" x14ac:dyDescent="0.2"/>
  <cols>
    <col min="1" max="1" width="21.7890625" customWidth="1"/>
    <col min="2" max="2" width="9.4140625" customWidth="1"/>
  </cols>
  <sheetData>
    <row r="1" spans="1:6" x14ac:dyDescent="0.2">
      <c r="A1" t="s">
        <v>0</v>
      </c>
    </row>
    <row r="3" spans="1:6" x14ac:dyDescent="0.2">
      <c r="A3" t="s">
        <v>1</v>
      </c>
      <c r="B3">
        <v>2021</v>
      </c>
      <c r="C3">
        <v>2022</v>
      </c>
      <c r="D3">
        <v>2023</v>
      </c>
      <c r="E3">
        <v>2024</v>
      </c>
      <c r="F3">
        <v>2025</v>
      </c>
    </row>
    <row r="4" spans="1:6" x14ac:dyDescent="0.2">
      <c r="A4" t="s">
        <v>2</v>
      </c>
      <c r="B4">
        <v>494.1</v>
      </c>
      <c r="C4">
        <v>583.20000000000005</v>
      </c>
      <c r="D4">
        <v>648.4</v>
      </c>
      <c r="E4">
        <v>661.8</v>
      </c>
      <c r="F4">
        <v>666.5</v>
      </c>
    </row>
    <row r="5" spans="1:6" x14ac:dyDescent="0.2">
      <c r="A5" t="s">
        <v>3</v>
      </c>
      <c r="B5">
        <v>232.2</v>
      </c>
      <c r="C5">
        <v>257.8</v>
      </c>
      <c r="D5">
        <v>302.89999999999998</v>
      </c>
      <c r="E5">
        <v>302.89999999999998</v>
      </c>
      <c r="F5">
        <v>333.3</v>
      </c>
    </row>
    <row r="6" spans="1:6" x14ac:dyDescent="0.2">
      <c r="A6" t="s">
        <v>4</v>
      </c>
      <c r="B6">
        <v>254.8</v>
      </c>
      <c r="C6">
        <v>214.9</v>
      </c>
      <c r="D6">
        <v>209.1</v>
      </c>
      <c r="E6">
        <v>221.8</v>
      </c>
      <c r="F6">
        <v>172.9</v>
      </c>
    </row>
    <row r="7" spans="1:6" x14ac:dyDescent="0.2">
      <c r="A7" t="s">
        <v>5</v>
      </c>
      <c r="B7">
        <v>7.1</v>
      </c>
      <c r="C7">
        <v>110.5</v>
      </c>
      <c r="D7">
        <v>136.4</v>
      </c>
      <c r="E7">
        <v>137.1</v>
      </c>
      <c r="F7">
        <v>160.30000000000001</v>
      </c>
    </row>
    <row r="8" spans="1:6" x14ac:dyDescent="0.2">
      <c r="A8" t="s">
        <v>6</v>
      </c>
    </row>
    <row r="9" spans="1:6" x14ac:dyDescent="0.2">
      <c r="A9" t="s">
        <v>8</v>
      </c>
    </row>
    <row r="10" spans="1:6" x14ac:dyDescent="0.2">
      <c r="A10" t="s">
        <v>7</v>
      </c>
    </row>
    <row r="11" spans="1:6" x14ac:dyDescent="0.2">
      <c r="A11" t="s">
        <v>9</v>
      </c>
    </row>
    <row r="12" spans="1:6" x14ac:dyDescent="0.2">
      <c r="A12" t="s">
        <v>10</v>
      </c>
    </row>
    <row r="13" spans="1:6" x14ac:dyDescent="0.2">
      <c r="A13" t="s">
        <v>11</v>
      </c>
      <c r="C13" s="1">
        <f>(C4-B4)/B4</f>
        <v>0.18032786885245905</v>
      </c>
      <c r="D13" s="1">
        <f>(D4-C4)/C4</f>
        <v>0.11179698216735241</v>
      </c>
      <c r="E13" s="1">
        <f>(E4-D4)/D4</f>
        <v>2.0666255397902494E-2</v>
      </c>
      <c r="F13" s="1">
        <f>(F4-E4)/D4</f>
        <v>7.2486119679211064E-3</v>
      </c>
    </row>
    <row r="14" spans="1:6" x14ac:dyDescent="0.2">
      <c r="A14" t="s">
        <v>12</v>
      </c>
      <c r="B14">
        <f t="shared" ref="B14:E14" si="0">SUM(B5:B7)-B4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>SUM(F5:F7)-F4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871C-C6D1-784F-B9C3-632AC41563FE}">
  <dimension ref="A1:F12"/>
  <sheetViews>
    <sheetView zoomScaleNormal="150" zoomScaleSheetLayoutView="100" workbookViewId="0">
      <selection activeCell="B10" sqref="B10:B12"/>
    </sheetView>
  </sheetViews>
  <sheetFormatPr defaultRowHeight="15" x14ac:dyDescent="0.2"/>
  <cols>
    <col min="1" max="1" width="17.62109375" customWidth="1"/>
  </cols>
  <sheetData>
    <row r="1" spans="1:6" x14ac:dyDescent="0.2">
      <c r="A1" t="s">
        <v>13</v>
      </c>
    </row>
    <row r="3" spans="1:6" x14ac:dyDescent="0.2">
      <c r="A3" t="s">
        <v>14</v>
      </c>
      <c r="B3">
        <v>2021</v>
      </c>
      <c r="C3">
        <v>2022</v>
      </c>
      <c r="D3">
        <v>2023</v>
      </c>
      <c r="E3">
        <v>2024</v>
      </c>
      <c r="F3">
        <v>2025</v>
      </c>
    </row>
    <row r="4" spans="1:6" x14ac:dyDescent="0.2">
      <c r="A4" t="s">
        <v>15</v>
      </c>
      <c r="B4">
        <f>'Raw financials'!B5</f>
        <v>232.2</v>
      </c>
      <c r="C4">
        <f>'Raw financials'!C5</f>
        <v>257.8</v>
      </c>
      <c r="D4">
        <f>'Raw financials'!D5</f>
        <v>302.89999999999998</v>
      </c>
      <c r="E4">
        <f>'Raw financials'!E5</f>
        <v>302.89999999999998</v>
      </c>
      <c r="F4">
        <f>'Raw financials'!F5</f>
        <v>333.3</v>
      </c>
    </row>
    <row r="5" spans="1:6" x14ac:dyDescent="0.2">
      <c r="A5" t="s">
        <v>16</v>
      </c>
      <c r="B5" s="2">
        <f>'Raw financials'!B6</f>
        <v>254.8</v>
      </c>
      <c r="C5" s="2">
        <f>'Raw financials'!C6</f>
        <v>214.9</v>
      </c>
      <c r="D5" s="2">
        <f>'Raw financials'!D6</f>
        <v>209.1</v>
      </c>
      <c r="E5" s="2">
        <f>'Raw financials'!E6</f>
        <v>221.8</v>
      </c>
      <c r="F5" s="2">
        <f>'Raw financials'!F6</f>
        <v>172.9</v>
      </c>
    </row>
    <row r="6" spans="1:6" x14ac:dyDescent="0.2">
      <c r="A6" t="s">
        <v>17</v>
      </c>
      <c r="B6">
        <f>'Raw financials'!B7</f>
        <v>7.1</v>
      </c>
      <c r="C6">
        <f>'Raw financials'!C7</f>
        <v>110.5</v>
      </c>
      <c r="D6">
        <f>'Raw financials'!D7</f>
        <v>136.4</v>
      </c>
      <c r="E6">
        <f>'Raw financials'!E7</f>
        <v>137.1</v>
      </c>
      <c r="F6">
        <f>'Raw financials'!F7</f>
        <v>160.30000000000001</v>
      </c>
    </row>
    <row r="7" spans="1:6" x14ac:dyDescent="0.2">
      <c r="A7" t="s">
        <v>18</v>
      </c>
      <c r="B7">
        <f>'Raw financials'!B4</f>
        <v>494.1</v>
      </c>
      <c r="C7">
        <f>'Raw financials'!C4</f>
        <v>583.20000000000005</v>
      </c>
      <c r="D7">
        <f>'Raw financials'!D4</f>
        <v>648.4</v>
      </c>
      <c r="E7">
        <f>'Raw financials'!E4</f>
        <v>661.8</v>
      </c>
      <c r="F7">
        <f>'Raw financials'!F4</f>
        <v>666.5</v>
      </c>
    </row>
    <row r="9" spans="1:6" x14ac:dyDescent="0.2">
      <c r="A9" t="s">
        <v>19</v>
      </c>
    </row>
    <row r="10" spans="1:6" x14ac:dyDescent="0.2">
      <c r="A10" t="s">
        <v>15</v>
      </c>
      <c r="B10" s="1">
        <f>F4/$F$7</f>
        <v>0.50007501875468874</v>
      </c>
    </row>
    <row r="11" spans="1:6" x14ac:dyDescent="0.2">
      <c r="A11" t="s">
        <v>16</v>
      </c>
      <c r="B11" s="1">
        <f t="shared" ref="B11:B12" si="0">F5/$F$7</f>
        <v>0.25941485371342837</v>
      </c>
    </row>
    <row r="12" spans="1:6" x14ac:dyDescent="0.2">
      <c r="A12" t="s">
        <v>17</v>
      </c>
      <c r="B12" s="1">
        <f t="shared" si="0"/>
        <v>0.240510127531883</v>
      </c>
    </row>
  </sheetData>
  <phoneticPr fontId="1" alignment="center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C692-726A-824C-AFD0-43040A95B819}">
  <dimension ref="A1:J9"/>
  <sheetViews>
    <sheetView zoomScaleNormal="150" zoomScaleSheetLayoutView="100" workbookViewId="0">
      <selection activeCell="H3" sqref="H3:J8"/>
    </sheetView>
  </sheetViews>
  <sheetFormatPr defaultRowHeight="15" x14ac:dyDescent="0.2"/>
  <cols>
    <col min="1" max="1" width="19.234375" customWidth="1"/>
    <col min="9" max="9" width="14.9296875" customWidth="1"/>
  </cols>
  <sheetData>
    <row r="1" spans="1:10" x14ac:dyDescent="0.2">
      <c r="A1" t="s">
        <v>20</v>
      </c>
    </row>
    <row r="3" spans="1:10" x14ac:dyDescent="0.2">
      <c r="A3" t="s">
        <v>1</v>
      </c>
      <c r="B3">
        <v>2021</v>
      </c>
      <c r="C3">
        <v>2022</v>
      </c>
      <c r="D3">
        <v>2023</v>
      </c>
      <c r="E3">
        <v>2024</v>
      </c>
      <c r="F3">
        <v>2025</v>
      </c>
      <c r="H3" t="s">
        <v>38</v>
      </c>
      <c r="I3" t="s">
        <v>39</v>
      </c>
      <c r="J3" t="s">
        <v>40</v>
      </c>
    </row>
    <row r="4" spans="1:10" x14ac:dyDescent="0.2">
      <c r="A4" t="s">
        <v>2</v>
      </c>
      <c r="B4">
        <f>'Raw financials'!B4</f>
        <v>494.1</v>
      </c>
      <c r="C4">
        <f>'Raw financials'!C4</f>
        <v>583.20000000000005</v>
      </c>
      <c r="D4">
        <f>'Raw financials'!D4</f>
        <v>648.4</v>
      </c>
      <c r="E4">
        <f>'Raw financials'!E4</f>
        <v>661.8</v>
      </c>
      <c r="F4">
        <f>'Raw financials'!F4</f>
        <v>666.5</v>
      </c>
      <c r="H4">
        <v>2021</v>
      </c>
      <c r="I4">
        <v>-36.926000000000002</v>
      </c>
      <c r="J4">
        <v>-92.215999999999994</v>
      </c>
    </row>
    <row r="5" spans="1:10" x14ac:dyDescent="0.2">
      <c r="A5" t="s">
        <v>21</v>
      </c>
      <c r="B5">
        <v>538.42399999999998</v>
      </c>
      <c r="C5">
        <v>692.52</v>
      </c>
      <c r="D5">
        <v>681.11699999999996</v>
      </c>
      <c r="E5">
        <v>768.53</v>
      </c>
      <c r="F5">
        <v>733.68600000000004</v>
      </c>
      <c r="H5">
        <v>2022</v>
      </c>
      <c r="I5">
        <v>-87.384</v>
      </c>
      <c r="J5">
        <v>-115.51</v>
      </c>
    </row>
    <row r="6" spans="1:10" x14ac:dyDescent="0.2">
      <c r="A6" t="s">
        <v>8</v>
      </c>
      <c r="B6">
        <v>-36.926000000000002</v>
      </c>
      <c r="C6">
        <v>-87.384</v>
      </c>
      <c r="D6">
        <v>-11.205</v>
      </c>
      <c r="E6">
        <v>-69.266999999999996</v>
      </c>
      <c r="F6">
        <v>-18.43</v>
      </c>
      <c r="H6">
        <v>2023</v>
      </c>
      <c r="I6">
        <v>-11.205</v>
      </c>
      <c r="J6">
        <v>-28.702000000000002</v>
      </c>
    </row>
    <row r="7" spans="1:10" x14ac:dyDescent="0.2">
      <c r="A7" t="s">
        <v>7</v>
      </c>
      <c r="B7">
        <v>-92.215999999999994</v>
      </c>
      <c r="C7">
        <v>-115.51</v>
      </c>
      <c r="D7">
        <v>-28.702000000000002</v>
      </c>
      <c r="E7">
        <v>-113.17</v>
      </c>
      <c r="F7">
        <v>-33.023000000000003</v>
      </c>
      <c r="H7">
        <v>2024</v>
      </c>
      <c r="I7">
        <v>-69.266999999999996</v>
      </c>
      <c r="J7">
        <v>-113.17</v>
      </c>
    </row>
    <row r="8" spans="1:10" x14ac:dyDescent="0.2">
      <c r="A8" t="s">
        <v>22</v>
      </c>
      <c r="B8" s="1">
        <f>B6/B4</f>
        <v>-7.4733859542602712E-2</v>
      </c>
      <c r="C8" s="1">
        <f t="shared" ref="C8:F8" si="0">C6/C4</f>
        <v>-0.14983539094650206</v>
      </c>
      <c r="D8" s="1">
        <f t="shared" si="0"/>
        <v>-1.7280999383096855E-2</v>
      </c>
      <c r="E8" s="1">
        <f t="shared" si="0"/>
        <v>-0.10466455122393473</v>
      </c>
      <c r="F8" s="1">
        <f t="shared" si="0"/>
        <v>-2.7651912978244559E-2</v>
      </c>
      <c r="H8">
        <v>2025</v>
      </c>
      <c r="I8">
        <v>-18.43</v>
      </c>
      <c r="J8">
        <v>-33.023000000000003</v>
      </c>
    </row>
    <row r="9" spans="1:10" x14ac:dyDescent="0.2">
      <c r="A9" t="s">
        <v>23</v>
      </c>
      <c r="B9" s="1">
        <f>B7/B4</f>
        <v>-0.1866342845577818</v>
      </c>
      <c r="C9" s="1">
        <f t="shared" ref="C9:F9" si="1">C7/C4</f>
        <v>-0.19806241426611795</v>
      </c>
      <c r="D9" s="1">
        <f t="shared" si="1"/>
        <v>-4.4265885256014811E-2</v>
      </c>
      <c r="E9" s="1">
        <f t="shared" si="1"/>
        <v>-0.1710033242671502</v>
      </c>
      <c r="F9" s="1">
        <f t="shared" si="1"/>
        <v>-4.9546886721680422E-2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69E9-39B2-C140-8F80-14E9DB2AF88C}">
  <dimension ref="A1:I10"/>
  <sheetViews>
    <sheetView zoomScaleNormal="150" zoomScaleSheetLayoutView="100" workbookViewId="0">
      <selection activeCell="H3" sqref="H3:I8"/>
    </sheetView>
  </sheetViews>
  <sheetFormatPr defaultRowHeight="15" x14ac:dyDescent="0.2"/>
  <cols>
    <col min="1" max="1" width="22.328125" customWidth="1"/>
    <col min="8" max="8" width="7.93359375" customWidth="1"/>
    <col min="9" max="9" width="12.64453125" customWidth="1"/>
  </cols>
  <sheetData>
    <row r="1" spans="1:9" x14ac:dyDescent="0.2">
      <c r="A1" t="s">
        <v>24</v>
      </c>
    </row>
    <row r="3" spans="1:9" x14ac:dyDescent="0.2">
      <c r="A3" t="s">
        <v>1</v>
      </c>
      <c r="B3">
        <v>2021</v>
      </c>
      <c r="C3">
        <v>2022</v>
      </c>
      <c r="D3">
        <v>2023</v>
      </c>
      <c r="E3">
        <v>2024</v>
      </c>
      <c r="F3">
        <v>2025</v>
      </c>
      <c r="H3" t="s">
        <v>38</v>
      </c>
      <c r="I3" t="s">
        <v>41</v>
      </c>
    </row>
    <row r="4" spans="1:9" x14ac:dyDescent="0.2">
      <c r="A4" t="s">
        <v>25</v>
      </c>
      <c r="B4">
        <v>110.658</v>
      </c>
      <c r="C4">
        <v>121.223</v>
      </c>
      <c r="D4">
        <v>76.019000000000005</v>
      </c>
      <c r="E4">
        <v>73.549000000000007</v>
      </c>
      <c r="F4">
        <v>86.1</v>
      </c>
      <c r="H4">
        <v>2021</v>
      </c>
      <c r="I4" s="3">
        <v>419.54199999999997</v>
      </c>
    </row>
    <row r="5" spans="1:9" x14ac:dyDescent="0.2">
      <c r="A5" t="s">
        <v>26</v>
      </c>
      <c r="B5">
        <v>530.20000000000005</v>
      </c>
      <c r="C5">
        <v>636.20000000000005</v>
      </c>
      <c r="D5">
        <v>613.29999999999995</v>
      </c>
      <c r="E5">
        <v>546.6</v>
      </c>
      <c r="F5">
        <v>637</v>
      </c>
      <c r="H5">
        <v>2022</v>
      </c>
      <c r="I5" s="3">
        <v>514.97699999999998</v>
      </c>
    </row>
    <row r="6" spans="1:9" x14ac:dyDescent="0.2">
      <c r="A6" t="s">
        <v>27</v>
      </c>
      <c r="B6">
        <f>B5-B4</f>
        <v>419.54200000000003</v>
      </c>
      <c r="C6">
        <f t="shared" ref="C6:F6" si="0">C5-C4</f>
        <v>514.97700000000009</v>
      </c>
      <c r="D6">
        <f t="shared" si="0"/>
        <v>537.28099999999995</v>
      </c>
      <c r="E6">
        <f t="shared" si="0"/>
        <v>473.05100000000004</v>
      </c>
      <c r="F6">
        <f t="shared" si="0"/>
        <v>550.9</v>
      </c>
      <c r="H6">
        <v>2023</v>
      </c>
      <c r="I6">
        <v>537.28099999999995</v>
      </c>
    </row>
    <row r="7" spans="1:9" x14ac:dyDescent="0.2">
      <c r="A7" t="s">
        <v>28</v>
      </c>
      <c r="B7">
        <v>1260.31</v>
      </c>
      <c r="C7">
        <v>1293.665</v>
      </c>
      <c r="D7">
        <v>1317.944</v>
      </c>
      <c r="E7">
        <v>1344.787</v>
      </c>
      <c r="F7">
        <v>1637.7329999999999</v>
      </c>
      <c r="H7">
        <v>2024</v>
      </c>
      <c r="I7">
        <v>473.05099999999999</v>
      </c>
    </row>
    <row r="8" spans="1:9" x14ac:dyDescent="0.2">
      <c r="A8" t="s">
        <v>29</v>
      </c>
      <c r="B8">
        <v>987.798</v>
      </c>
      <c r="C8">
        <v>1166.1569999999999</v>
      </c>
      <c r="D8">
        <v>1213.9939999999999</v>
      </c>
      <c r="E8">
        <v>1199.8969999999999</v>
      </c>
      <c r="F8">
        <v>1444</v>
      </c>
      <c r="H8">
        <v>2025</v>
      </c>
      <c r="I8">
        <v>550.9</v>
      </c>
    </row>
    <row r="9" spans="1:9" x14ac:dyDescent="0.2">
      <c r="A9" t="s">
        <v>30</v>
      </c>
      <c r="B9">
        <v>272.512</v>
      </c>
      <c r="C9">
        <v>127.508</v>
      </c>
      <c r="D9">
        <v>103.95</v>
      </c>
      <c r="E9">
        <v>144.88999999999999</v>
      </c>
      <c r="F9">
        <v>193.733</v>
      </c>
    </row>
    <row r="10" spans="1:9" x14ac:dyDescent="0.2">
      <c r="A10" t="s">
        <v>31</v>
      </c>
      <c r="B10" s="1">
        <f>B5/B7</f>
        <v>0.42069014766208318</v>
      </c>
      <c r="C10" s="1">
        <f t="shared" ref="C10:F10" si="1">C5/C7</f>
        <v>0.49178110252654283</v>
      </c>
      <c r="D10" s="1">
        <f t="shared" si="1"/>
        <v>0.46534602380677781</v>
      </c>
      <c r="E10" s="1">
        <f t="shared" si="1"/>
        <v>0.40645842055284592</v>
      </c>
      <c r="F10" s="1">
        <f t="shared" si="1"/>
        <v>0.38895228953681704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99DB-9B8F-5D41-8A4B-01915ACAFF96}">
  <dimension ref="A1:H41"/>
  <sheetViews>
    <sheetView tabSelected="1" zoomScaleNormal="150" zoomScaleSheetLayoutView="100" workbookViewId="0">
      <selection activeCell="D48" sqref="D48"/>
    </sheetView>
  </sheetViews>
  <sheetFormatPr defaultRowHeight="15" x14ac:dyDescent="0.2"/>
  <cols>
    <col min="1" max="1" width="34.4375" customWidth="1"/>
    <col min="2" max="2" width="19.63671875" customWidth="1"/>
    <col min="4" max="4" width="24.6171875" customWidth="1"/>
    <col min="5" max="5" width="19.90625" customWidth="1"/>
    <col min="6" max="6" width="11.97265625" customWidth="1"/>
    <col min="7" max="7" width="20.04296875" customWidth="1"/>
  </cols>
  <sheetData>
    <row r="1" spans="1:8" ht="24.75" x14ac:dyDescent="0.35">
      <c r="A1" s="6" t="s">
        <v>32</v>
      </c>
      <c r="B1" s="6"/>
      <c r="C1" s="6"/>
      <c r="D1" s="6"/>
      <c r="E1" s="6"/>
      <c r="F1" s="6"/>
      <c r="G1" s="6"/>
      <c r="H1" s="6"/>
    </row>
    <row r="2" spans="1:8" ht="18.75" x14ac:dyDescent="0.25">
      <c r="A2" s="7" t="s">
        <v>33</v>
      </c>
      <c r="B2" s="7"/>
      <c r="C2" s="7"/>
      <c r="D2" s="7"/>
      <c r="E2" s="7"/>
      <c r="F2" s="7"/>
      <c r="G2" s="7"/>
      <c r="H2" s="7"/>
    </row>
    <row r="4" spans="1:8" ht="22.5" customHeight="1" x14ac:dyDescent="0.2">
      <c r="A4" s="8" t="s">
        <v>36</v>
      </c>
      <c r="B4" s="9"/>
      <c r="C4" s="8" t="s">
        <v>35</v>
      </c>
      <c r="D4" s="9"/>
      <c r="E4" s="8" t="s">
        <v>34</v>
      </c>
      <c r="F4" s="9"/>
      <c r="G4" s="8" t="s">
        <v>37</v>
      </c>
      <c r="H4" s="13"/>
    </row>
    <row r="5" spans="1:8" ht="51.75" customHeight="1" x14ac:dyDescent="0.3">
      <c r="A5" s="10" t="s">
        <v>42</v>
      </c>
      <c r="B5" s="11"/>
      <c r="C5" s="12" t="s">
        <v>49</v>
      </c>
      <c r="D5" s="11"/>
      <c r="E5" s="10" t="s">
        <v>43</v>
      </c>
      <c r="F5" s="11"/>
      <c r="G5" s="4">
        <v>0.38900000000000001</v>
      </c>
      <c r="H5" s="5"/>
    </row>
    <row r="36" spans="1:8" ht="18.75" x14ac:dyDescent="0.25">
      <c r="A36" s="16" t="s">
        <v>44</v>
      </c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15" t="s">
        <v>45</v>
      </c>
      <c r="B38" s="14"/>
      <c r="C38" s="14"/>
      <c r="D38" s="14"/>
      <c r="E38" s="14"/>
      <c r="F38" s="14"/>
      <c r="G38" s="14"/>
      <c r="H38" s="14"/>
    </row>
    <row r="39" spans="1:8" x14ac:dyDescent="0.2">
      <c r="A39" s="15" t="s">
        <v>46</v>
      </c>
      <c r="B39" s="14"/>
      <c r="C39" s="14"/>
      <c r="D39" s="14"/>
      <c r="E39" s="14"/>
      <c r="F39" s="14"/>
      <c r="G39" s="14"/>
      <c r="H39" s="14"/>
    </row>
    <row r="40" spans="1:8" x14ac:dyDescent="0.2">
      <c r="A40" s="15" t="s">
        <v>47</v>
      </c>
      <c r="B40" s="14"/>
      <c r="C40" s="14"/>
      <c r="D40" s="14"/>
      <c r="E40" s="14"/>
      <c r="F40" s="14"/>
      <c r="G40" s="14"/>
      <c r="H40" s="14"/>
    </row>
    <row r="41" spans="1:8" x14ac:dyDescent="0.2">
      <c r="A41" s="15" t="s">
        <v>48</v>
      </c>
      <c r="B41" s="14"/>
      <c r="C41" s="14"/>
      <c r="D41" s="14"/>
      <c r="E41" s="14"/>
      <c r="F41" s="14"/>
      <c r="G41" s="14"/>
    </row>
  </sheetData>
  <mergeCells count="10">
    <mergeCell ref="G5:H5"/>
    <mergeCell ref="A1:H1"/>
    <mergeCell ref="A2:H2"/>
    <mergeCell ref="A4:B4"/>
    <mergeCell ref="A5:B5"/>
    <mergeCell ref="C5:D5"/>
    <mergeCell ref="C4:D4"/>
    <mergeCell ref="E4:F4"/>
    <mergeCell ref="E5:F5"/>
    <mergeCell ref="G4:H4"/>
  </mergeCells>
  <phoneticPr fontId="1" alignment="center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financials</vt:lpstr>
      <vt:lpstr>Revenue analysis</vt:lpstr>
      <vt:lpstr>Profitability</vt:lpstr>
      <vt:lpstr>Balance sheet and debt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Harte (BSc Chemistry FT)</dc:creator>
  <dcterms:created xsi:type="dcterms:W3CDTF">2026-09-08T11:50:46Z</dcterms:created>
</cp:coreProperties>
</file>